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5D63CC16-EE36-4FD4-ABCF-355525834B29}" xr6:coauthVersionLast="47" xr6:coauthVersionMax="47" xr10:uidLastSave="{00000000-0000-0000-0000-000000000000}"/>
  <bookViews>
    <workbookView xWindow="-110" yWindow="-110" windowWidth="19420" windowHeight="10300" xr2:uid="{9696E58B-8C82-42D1-92E8-ECF0DEAAFCCA}"/>
  </bookViews>
  <sheets>
    <sheet name="RECURTID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2" i="1" l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19" i="1"/>
  <c r="E18" i="1"/>
  <c r="E17" i="1"/>
  <c r="E16" i="1"/>
  <c r="E15" i="1"/>
  <c r="E14" i="1"/>
  <c r="E13" i="1"/>
  <c r="E10" i="1"/>
  <c r="E9" i="1"/>
  <c r="E8" i="1"/>
</calcChain>
</file>

<file path=xl/sharedStrings.xml><?xml version="1.0" encoding="utf-8"?>
<sst xmlns="http://schemas.openxmlformats.org/spreadsheetml/2006/main" count="80" uniqueCount="69">
  <si>
    <t xml:space="preserve">FECHA:  </t>
  </si>
  <si>
    <t>ARTICULO:  CROOSTA</t>
  </si>
  <si>
    <t xml:space="preserve">CANTIDAD:  </t>
  </si>
  <si>
    <t>CLIENTE: CURTIORIENTE</t>
  </si>
  <si>
    <t xml:space="preserve">PESO: </t>
  </si>
  <si>
    <t>CALIBRE:  12-13</t>
  </si>
  <si>
    <t xml:space="preserve">COLOR: </t>
  </si>
  <si>
    <t>HABANO</t>
  </si>
  <si>
    <t xml:space="preserve">BOMBO: </t>
  </si>
  <si>
    <t>COD</t>
  </si>
  <si>
    <t>(H2O)</t>
  </si>
  <si>
    <t>PRODUCTO QUIMICO</t>
  </si>
  <si>
    <t>T</t>
  </si>
  <si>
    <t>PH</t>
  </si>
  <si>
    <t>CONTROL</t>
  </si>
  <si>
    <t>%</t>
  </si>
  <si>
    <t>°C</t>
  </si>
  <si>
    <t>Kgs</t>
  </si>
  <si>
    <t>PRODUCTO</t>
  </si>
  <si>
    <t>AGUA</t>
  </si>
  <si>
    <t>CMV1</t>
  </si>
  <si>
    <t>ACIDO FORMICO</t>
  </si>
  <si>
    <t>CMV6</t>
  </si>
  <si>
    <t>JABON</t>
  </si>
  <si>
    <t>ESCURRIR</t>
  </si>
  <si>
    <t>WEST1</t>
  </si>
  <si>
    <t>CROMO</t>
  </si>
  <si>
    <t>QM4</t>
  </si>
  <si>
    <t>ARITAN AN</t>
  </si>
  <si>
    <t>TQ11</t>
  </si>
  <si>
    <t>SMART OIL ESF</t>
  </si>
  <si>
    <t>CMV4</t>
  </si>
  <si>
    <t>FORMIATO DE SODIO</t>
  </si>
  <si>
    <t>TQ08</t>
  </si>
  <si>
    <t>SMART OIL PSA</t>
  </si>
  <si>
    <t>TQ16</t>
  </si>
  <si>
    <t>SMARTAN NT</t>
  </si>
  <si>
    <t xml:space="preserve">ESCURRIR/ LAVAR </t>
  </si>
  <si>
    <t>TQ25</t>
  </si>
  <si>
    <t>LH 40</t>
  </si>
  <si>
    <t>TQ24</t>
  </si>
  <si>
    <t>SMARTAN REM</t>
  </si>
  <si>
    <t>CLQ3</t>
  </si>
  <si>
    <t>SMARTAN LF</t>
  </si>
  <si>
    <t>TQ02</t>
  </si>
  <si>
    <t>SMARTAN UR</t>
  </si>
  <si>
    <t>TQ18</t>
  </si>
  <si>
    <t>SMARTAN STF</t>
  </si>
  <si>
    <t>MAXITAN VSL</t>
  </si>
  <si>
    <t>PRO2</t>
  </si>
  <si>
    <t>MIMOSA EXTRA LIHG</t>
  </si>
  <si>
    <t>TQ01</t>
  </si>
  <si>
    <t>SMARTAN M</t>
  </si>
  <si>
    <t>PRO1</t>
  </si>
  <si>
    <t>ANILINA COEQUIN</t>
  </si>
  <si>
    <t>VER</t>
  </si>
  <si>
    <t>AGUA CALIENTE</t>
  </si>
  <si>
    <t>TQ10</t>
  </si>
  <si>
    <t>SMART OIL SSF</t>
  </si>
  <si>
    <t>TQ09</t>
  </si>
  <si>
    <t>SMART OIL MSS</t>
  </si>
  <si>
    <t>QM6</t>
  </si>
  <si>
    <t>SUPERDEMA GTA</t>
  </si>
  <si>
    <t>SAMRT OIL ESF</t>
  </si>
  <si>
    <t>TQ15</t>
  </si>
  <si>
    <t>SMART OIL MSG</t>
  </si>
  <si>
    <t>MELASA</t>
  </si>
  <si>
    <t>Descontar de inventario</t>
  </si>
  <si>
    <r>
      <t xml:space="preserve">FORMULA </t>
    </r>
    <r>
      <rPr>
        <i/>
        <sz val="11"/>
        <color theme="4" tint="-0.249977111117893"/>
        <rFont val="Arial"/>
        <family val="2"/>
      </rPr>
      <t>#309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</si>
</sst>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[Red]#,##0"/>
    <numFmt numFmtId="165" formatCode="0.0%"/>
    <numFmt numFmtId="166" formatCode="0.0"/>
    <numFmt numFmtId="167" formatCode="0.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4" tint="-0.249977111117893"/>
      <name val="Arial"/>
      <family val="2"/>
    </font>
    <font>
      <b/>
      <sz val="10"/>
      <color theme="4" tint="-0.249977111117893"/>
      <name val="Arial"/>
      <family val="2"/>
    </font>
    <font>
      <i/>
      <u/>
      <sz val="10"/>
      <color theme="4" tint="-0.249977111117893"/>
      <name val="Arial"/>
      <family val="2"/>
    </font>
    <font>
      <b/>
      <i/>
      <u/>
      <sz val="10"/>
      <color theme="4" tint="-0.249977111117893"/>
      <name val="Arial"/>
      <family val="2"/>
    </font>
    <font>
      <sz val="11"/>
      <color theme="4" tint="-0.249977111117893"/>
      <name val="Arial"/>
      <family val="2"/>
    </font>
    <font>
      <b/>
      <i/>
      <sz val="10"/>
      <color theme="4" tint="-0.249977111117893"/>
      <name val="Arial"/>
      <family val="2"/>
    </font>
    <font>
      <sz val="8"/>
      <color theme="4" tint="-0.249977111117893"/>
      <name val="Arial"/>
      <family val="2"/>
    </font>
    <font>
      <b/>
      <sz val="11"/>
      <color theme="4" tint="-0.249977111117893"/>
      <name val="Arial"/>
      <family val="2"/>
    </font>
    <font>
      <i/>
      <sz val="11"/>
      <color theme="4" tint="-0.249977111117893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0" applyFont="1"/>
    <xf numFmtId="0" fontId="3" fillId="0" borderId="0" xfId="0" applyFont="1"/>
    <xf numFmtId="14" fontId="4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/>
    <xf numFmtId="0" fontId="4" fillId="0" borderId="0" xfId="0" applyFont="1" applyAlignment="1">
      <alignment horizontal="left"/>
    </xf>
    <xf numFmtId="0" fontId="7" fillId="0" borderId="0" xfId="0" applyFont="1"/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8" fillId="0" borderId="1" xfId="0" applyFont="1" applyBorder="1"/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5" xfId="0" applyFont="1" applyBorder="1"/>
    <xf numFmtId="9" fontId="6" fillId="0" borderId="5" xfId="1" applyFont="1" applyBorder="1" applyAlignment="1">
      <alignment horizontal="right"/>
    </xf>
    <xf numFmtId="0" fontId="9" fillId="0" borderId="5" xfId="0" applyFont="1" applyBorder="1"/>
    <xf numFmtId="1" fontId="6" fillId="0" borderId="5" xfId="0" applyNumberFormat="1" applyFont="1" applyBorder="1"/>
    <xf numFmtId="164" fontId="6" fillId="0" borderId="5" xfId="0" applyNumberFormat="1" applyFont="1" applyBorder="1"/>
    <xf numFmtId="165" fontId="6" fillId="0" borderId="5" xfId="1" applyNumberFormat="1" applyFont="1" applyBorder="1" applyAlignment="1">
      <alignment horizontal="right"/>
    </xf>
    <xf numFmtId="166" fontId="6" fillId="0" borderId="5" xfId="0" applyNumberFormat="1" applyFont="1" applyBorder="1"/>
    <xf numFmtId="165" fontId="6" fillId="0" borderId="5" xfId="0" applyNumberFormat="1" applyFont="1" applyBorder="1"/>
    <xf numFmtId="167" fontId="6" fillId="0" borderId="5" xfId="0" applyNumberFormat="1" applyFont="1" applyBorder="1"/>
    <xf numFmtId="166" fontId="6" fillId="0" borderId="5" xfId="0" applyNumberFormat="1" applyFont="1" applyBorder="1" applyAlignment="1">
      <alignment horizontal="center"/>
    </xf>
    <xf numFmtId="9" fontId="6" fillId="0" borderId="5" xfId="0" applyNumberFormat="1" applyFont="1" applyBorder="1"/>
    <xf numFmtId="1" fontId="6" fillId="0" borderId="5" xfId="0" applyNumberFormat="1" applyFont="1" applyBorder="1" applyAlignment="1">
      <alignment horizontal="right"/>
    </xf>
    <xf numFmtId="10" fontId="6" fillId="0" borderId="5" xfId="0" applyNumberFormat="1" applyFont="1" applyBorder="1"/>
    <xf numFmtId="0" fontId="6" fillId="0" borderId="2" xfId="0" applyFont="1" applyBorder="1"/>
    <xf numFmtId="165" fontId="6" fillId="0" borderId="4" xfId="0" applyNumberFormat="1" applyFont="1" applyBorder="1"/>
    <xf numFmtId="0" fontId="6" fillId="0" borderId="4" xfId="0" applyFont="1" applyBorder="1"/>
    <xf numFmtId="1" fontId="6" fillId="0" borderId="4" xfId="0" applyNumberFormat="1" applyFont="1" applyBorder="1"/>
    <xf numFmtId="164" fontId="6" fillId="0" borderId="3" xfId="0" applyNumberFormat="1" applyFont="1" applyBorder="1"/>
    <xf numFmtId="0" fontId="6" fillId="0" borderId="2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3" xfId="0" applyFont="1" applyBorder="1" applyAlignment="1">
      <alignment horizontal="left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E7348-2314-4A4C-AEBE-54FE99A3B6CC}">
  <dimension ref="A1:L45"/>
  <sheetViews>
    <sheetView tabSelected="1" workbookViewId="0">
      <selection activeCell="D1" sqref="D1"/>
    </sheetView>
  </sheetViews>
  <sheetFormatPr baseColWidth="10" defaultColWidth="10.7265625" defaultRowHeight="14" x14ac:dyDescent="0.3"/>
  <cols>
    <col min="1" max="1" width="7.6328125" style="5" customWidth="1"/>
    <col min="2" max="2" width="7.54296875" style="5" customWidth="1"/>
    <col min="3" max="3" width="10.26953125" style="5" customWidth="1"/>
    <col min="4" max="4" width="10.54296875" style="5" customWidth="1"/>
    <col min="5" max="5" width="8.7265625" style="5" customWidth="1"/>
    <col min="6" max="6" width="19.7265625" style="5" bestFit="1" customWidth="1"/>
    <col min="7" max="7" width="5.453125" style="5" customWidth="1"/>
    <col min="8" max="8" width="4.1796875" style="5" customWidth="1"/>
    <col min="9" max="9" width="8.7265625" style="5" customWidth="1"/>
    <col min="10" max="16384" width="10.7265625" style="5"/>
  </cols>
  <sheetData>
    <row r="1" spans="1:12" x14ac:dyDescent="0.3">
      <c r="A1" s="1"/>
      <c r="B1" s="1"/>
      <c r="C1" s="2" t="s">
        <v>0</v>
      </c>
      <c r="D1" s="3">
        <v>45974</v>
      </c>
      <c r="E1" s="2" t="s">
        <v>1</v>
      </c>
      <c r="F1" s="2"/>
      <c r="G1" s="4"/>
      <c r="H1" s="1"/>
      <c r="I1" s="1"/>
    </row>
    <row r="2" spans="1:12" x14ac:dyDescent="0.3">
      <c r="A2" s="1"/>
      <c r="B2" s="1"/>
      <c r="C2" s="2" t="s">
        <v>2</v>
      </c>
      <c r="D2" s="6">
        <v>150</v>
      </c>
      <c r="E2" s="2" t="s">
        <v>3</v>
      </c>
      <c r="F2" s="2"/>
      <c r="G2" s="2"/>
      <c r="H2" s="1"/>
      <c r="I2" s="1"/>
    </row>
    <row r="3" spans="1:12" x14ac:dyDescent="0.3">
      <c r="B3" s="1"/>
      <c r="C3" s="2" t="s">
        <v>4</v>
      </c>
      <c r="D3" s="6">
        <v>450</v>
      </c>
      <c r="E3" s="2" t="s">
        <v>5</v>
      </c>
      <c r="F3" s="7"/>
      <c r="G3" s="2"/>
      <c r="H3" s="1"/>
      <c r="I3" s="1"/>
    </row>
    <row r="4" spans="1:12" x14ac:dyDescent="0.3">
      <c r="A4" s="1"/>
      <c r="B4" s="1"/>
      <c r="C4" s="2" t="s">
        <v>6</v>
      </c>
      <c r="D4" s="6" t="s">
        <v>7</v>
      </c>
      <c r="E4" s="2" t="s">
        <v>8</v>
      </c>
      <c r="F4" s="8">
        <v>4</v>
      </c>
      <c r="G4" s="2"/>
      <c r="H4" s="1"/>
      <c r="I4" s="1"/>
    </row>
    <row r="5" spans="1:12" ht="17.5" customHeight="1" x14ac:dyDescent="0.3">
      <c r="A5" s="1"/>
      <c r="B5" s="1"/>
      <c r="C5" s="1"/>
      <c r="D5" s="9"/>
      <c r="E5" s="1"/>
      <c r="F5" s="1"/>
      <c r="G5" s="1"/>
      <c r="H5" s="1"/>
      <c r="I5" s="1"/>
      <c r="L5" s="1"/>
    </row>
    <row r="6" spans="1:12" x14ac:dyDescent="0.3">
      <c r="A6" s="10" t="s">
        <v>9</v>
      </c>
      <c r="B6" s="11" t="s">
        <v>10</v>
      </c>
      <c r="C6" s="12"/>
      <c r="D6" s="11" t="s">
        <v>11</v>
      </c>
      <c r="E6" s="13"/>
      <c r="F6" s="12"/>
      <c r="G6" s="14" t="s">
        <v>12</v>
      </c>
      <c r="H6" s="14" t="s">
        <v>13</v>
      </c>
      <c r="I6" s="15" t="s">
        <v>14</v>
      </c>
    </row>
    <row r="7" spans="1:12" x14ac:dyDescent="0.3">
      <c r="A7" s="16"/>
      <c r="B7" s="15" t="s">
        <v>15</v>
      </c>
      <c r="C7" s="15" t="s">
        <v>16</v>
      </c>
      <c r="D7" s="15" t="s">
        <v>15</v>
      </c>
      <c r="E7" s="15" t="s">
        <v>17</v>
      </c>
      <c r="F7" s="15" t="s">
        <v>18</v>
      </c>
      <c r="G7" s="16"/>
      <c r="H7" s="16"/>
      <c r="I7" s="15"/>
    </row>
    <row r="8" spans="1:12" x14ac:dyDescent="0.3">
      <c r="A8" s="16"/>
      <c r="B8" s="17">
        <v>1</v>
      </c>
      <c r="C8" s="16"/>
      <c r="D8" s="18"/>
      <c r="E8" s="19">
        <f>+D3*B8</f>
        <v>450</v>
      </c>
      <c r="F8" s="16" t="s">
        <v>19</v>
      </c>
      <c r="G8" s="15"/>
      <c r="H8" s="15"/>
      <c r="I8" s="20"/>
    </row>
    <row r="9" spans="1:12" x14ac:dyDescent="0.3">
      <c r="A9" s="16" t="s">
        <v>20</v>
      </c>
      <c r="B9" s="21">
        <v>3.0000000000000001E-3</v>
      </c>
      <c r="C9" s="16"/>
      <c r="D9" s="18"/>
      <c r="E9" s="22">
        <f>+D3*B9</f>
        <v>1.35</v>
      </c>
      <c r="F9" s="16" t="s">
        <v>21</v>
      </c>
      <c r="G9" s="15"/>
      <c r="H9" s="15"/>
      <c r="I9" s="20"/>
    </row>
    <row r="10" spans="1:12" x14ac:dyDescent="0.3">
      <c r="A10" s="23" t="s">
        <v>22</v>
      </c>
      <c r="B10" s="23">
        <v>2E-3</v>
      </c>
      <c r="C10" s="16"/>
      <c r="D10" s="16"/>
      <c r="E10" s="24">
        <f>$D$3*B10</f>
        <v>0.9</v>
      </c>
      <c r="F10" s="16" t="s">
        <v>23</v>
      </c>
      <c r="G10" s="15">
        <v>30</v>
      </c>
      <c r="H10" s="25"/>
      <c r="I10" s="20"/>
    </row>
    <row r="11" spans="1:12" x14ac:dyDescent="0.3">
      <c r="A11" s="23"/>
      <c r="B11" s="23"/>
      <c r="C11" s="16"/>
      <c r="D11" s="16"/>
      <c r="E11" s="24"/>
      <c r="F11" s="16" t="s">
        <v>24</v>
      </c>
      <c r="G11" s="15"/>
      <c r="H11" s="25"/>
      <c r="I11" s="20"/>
    </row>
    <row r="12" spans="1:12" x14ac:dyDescent="0.3">
      <c r="A12" s="16"/>
      <c r="B12" s="23"/>
      <c r="C12" s="16"/>
      <c r="D12" s="16"/>
      <c r="E12" s="24"/>
      <c r="F12" s="16"/>
      <c r="G12" s="15"/>
      <c r="H12" s="15"/>
      <c r="I12" s="20"/>
    </row>
    <row r="13" spans="1:12" x14ac:dyDescent="0.3">
      <c r="A13" s="16"/>
      <c r="B13" s="26">
        <v>0.8</v>
      </c>
      <c r="C13" s="16"/>
      <c r="D13" s="16"/>
      <c r="E13" s="19">
        <f>$D$3*B13</f>
        <v>360</v>
      </c>
      <c r="F13" s="16" t="s">
        <v>19</v>
      </c>
      <c r="G13" s="15"/>
      <c r="H13" s="15"/>
      <c r="I13" s="20"/>
    </row>
    <row r="14" spans="1:12" x14ac:dyDescent="0.3">
      <c r="A14" s="16" t="s">
        <v>25</v>
      </c>
      <c r="B14" s="26">
        <v>0.03</v>
      </c>
      <c r="C14" s="16"/>
      <c r="D14" s="16"/>
      <c r="E14" s="19">
        <f>+D3*B14</f>
        <v>13.5</v>
      </c>
      <c r="F14" s="16" t="s">
        <v>26</v>
      </c>
      <c r="G14" s="15"/>
      <c r="H14" s="15"/>
      <c r="I14" s="20"/>
    </row>
    <row r="15" spans="1:12" x14ac:dyDescent="0.3">
      <c r="A15" s="16" t="s">
        <v>27</v>
      </c>
      <c r="B15" s="26">
        <v>0.03</v>
      </c>
      <c r="C15" s="16"/>
      <c r="D15" s="16"/>
      <c r="E15" s="27">
        <f>+D3*B15</f>
        <v>13.5</v>
      </c>
      <c r="F15" s="16" t="s">
        <v>28</v>
      </c>
      <c r="G15" s="15"/>
      <c r="H15" s="15"/>
      <c r="I15" s="20"/>
    </row>
    <row r="16" spans="1:12" x14ac:dyDescent="0.3">
      <c r="A16" s="16" t="s">
        <v>29</v>
      </c>
      <c r="B16" s="23">
        <v>5.0000000000000001E-3</v>
      </c>
      <c r="C16" s="16"/>
      <c r="D16" s="16"/>
      <c r="E16" s="22">
        <f>+D3*B16</f>
        <v>2.25</v>
      </c>
      <c r="F16" s="16" t="s">
        <v>30</v>
      </c>
      <c r="G16" s="15">
        <v>60</v>
      </c>
      <c r="H16" s="15"/>
      <c r="I16" s="20"/>
    </row>
    <row r="17" spans="1:9" x14ac:dyDescent="0.3">
      <c r="A17" s="16" t="s">
        <v>31</v>
      </c>
      <c r="B17" s="23">
        <v>1.4999999999999999E-2</v>
      </c>
      <c r="C17" s="16"/>
      <c r="D17" s="16"/>
      <c r="E17" s="22">
        <f>+D3*B17</f>
        <v>6.75</v>
      </c>
      <c r="F17" s="16" t="s">
        <v>32</v>
      </c>
      <c r="G17" s="15"/>
      <c r="H17" s="15"/>
      <c r="I17" s="20"/>
    </row>
    <row r="18" spans="1:9" x14ac:dyDescent="0.3">
      <c r="A18" s="16" t="s">
        <v>33</v>
      </c>
      <c r="B18" s="26">
        <v>0.01</v>
      </c>
      <c r="C18" s="16"/>
      <c r="D18" s="16"/>
      <c r="E18" s="22">
        <f>+D3*B18</f>
        <v>4.5</v>
      </c>
      <c r="F18" s="16" t="s">
        <v>34</v>
      </c>
      <c r="G18" s="15">
        <v>30</v>
      </c>
      <c r="H18" s="15"/>
      <c r="I18" s="20"/>
    </row>
    <row r="19" spans="1:9" x14ac:dyDescent="0.3">
      <c r="A19" s="16" t="s">
        <v>35</v>
      </c>
      <c r="B19" s="23">
        <v>5.0000000000000001E-3</v>
      </c>
      <c r="C19" s="28"/>
      <c r="D19" s="16"/>
      <c r="E19" s="22">
        <f>+D3*B19</f>
        <v>2.25</v>
      </c>
      <c r="F19" s="16" t="s">
        <v>36</v>
      </c>
      <c r="G19" s="15">
        <v>60</v>
      </c>
      <c r="H19" s="15"/>
      <c r="I19" s="20"/>
    </row>
    <row r="20" spans="1:9" x14ac:dyDescent="0.3">
      <c r="A20" s="16"/>
      <c r="B20" s="23"/>
      <c r="C20" s="16"/>
      <c r="D20" s="16"/>
      <c r="E20" s="24"/>
      <c r="F20" s="16"/>
      <c r="G20" s="15"/>
      <c r="H20" s="15"/>
      <c r="I20" s="20"/>
    </row>
    <row r="21" spans="1:9" x14ac:dyDescent="0.3">
      <c r="A21" s="16"/>
      <c r="B21" s="26"/>
      <c r="C21" s="16"/>
      <c r="D21" s="16"/>
      <c r="E21" s="19"/>
      <c r="F21" s="16" t="s">
        <v>37</v>
      </c>
      <c r="G21" s="15"/>
      <c r="H21" s="15"/>
      <c r="I21" s="20"/>
    </row>
    <row r="22" spans="1:9" x14ac:dyDescent="0.3">
      <c r="A22" s="16"/>
      <c r="B22" s="26"/>
      <c r="C22" s="16"/>
      <c r="D22" s="16"/>
      <c r="E22" s="19"/>
      <c r="F22" s="16"/>
      <c r="G22" s="15"/>
      <c r="H22" s="15"/>
      <c r="I22" s="20"/>
    </row>
    <row r="23" spans="1:9" x14ac:dyDescent="0.3">
      <c r="A23" s="16"/>
      <c r="B23" s="26">
        <v>0.4</v>
      </c>
      <c r="C23" s="16"/>
      <c r="D23" s="16"/>
      <c r="E23" s="19">
        <f>+D3*B23</f>
        <v>180</v>
      </c>
      <c r="F23" s="16" t="s">
        <v>19</v>
      </c>
      <c r="G23" s="15"/>
      <c r="H23" s="15"/>
      <c r="I23" s="20"/>
    </row>
    <row r="24" spans="1:9" x14ac:dyDescent="0.3">
      <c r="A24" s="16" t="s">
        <v>38</v>
      </c>
      <c r="B24" s="26">
        <v>0.02</v>
      </c>
      <c r="C24" s="16"/>
      <c r="D24" s="16"/>
      <c r="E24" s="22">
        <f>+D3*B24</f>
        <v>9</v>
      </c>
      <c r="F24" s="16" t="s">
        <v>39</v>
      </c>
      <c r="G24" s="15">
        <v>20</v>
      </c>
      <c r="H24" s="15"/>
      <c r="I24" s="20"/>
    </row>
    <row r="25" spans="1:9" x14ac:dyDescent="0.3">
      <c r="A25" s="16" t="s">
        <v>40</v>
      </c>
      <c r="B25" s="26">
        <v>0.02</v>
      </c>
      <c r="C25" s="16"/>
      <c r="D25" s="16"/>
      <c r="E25" s="22">
        <f>+D3*B25</f>
        <v>9</v>
      </c>
      <c r="F25" s="16" t="s">
        <v>41</v>
      </c>
      <c r="G25" s="15">
        <v>20</v>
      </c>
      <c r="H25" s="15"/>
      <c r="I25" s="20"/>
    </row>
    <row r="26" spans="1:9" x14ac:dyDescent="0.3">
      <c r="A26" s="16" t="s">
        <v>33</v>
      </c>
      <c r="B26" s="26">
        <v>0.01</v>
      </c>
      <c r="C26" s="16"/>
      <c r="D26" s="16"/>
      <c r="E26" s="22">
        <f>+D3*B26</f>
        <v>4.5</v>
      </c>
      <c r="F26" s="16" t="s">
        <v>34</v>
      </c>
      <c r="G26" s="15"/>
      <c r="H26" s="15"/>
      <c r="I26" s="20"/>
    </row>
    <row r="27" spans="1:9" x14ac:dyDescent="0.3">
      <c r="A27" s="16" t="s">
        <v>42</v>
      </c>
      <c r="B27" s="26">
        <v>0.03</v>
      </c>
      <c r="C27" s="16"/>
      <c r="D27" s="16"/>
      <c r="E27" s="19">
        <f>+D3*B27</f>
        <v>13.5</v>
      </c>
      <c r="F27" s="16" t="s">
        <v>43</v>
      </c>
      <c r="G27" s="15"/>
      <c r="H27" s="15"/>
      <c r="I27" s="20"/>
    </row>
    <row r="28" spans="1:9" x14ac:dyDescent="0.3">
      <c r="A28" s="16" t="s">
        <v>44</v>
      </c>
      <c r="B28" s="26">
        <v>0.02</v>
      </c>
      <c r="C28" s="16"/>
      <c r="D28" s="16"/>
      <c r="E28" s="22">
        <f>+D3*B28</f>
        <v>9</v>
      </c>
      <c r="F28" s="16" t="s">
        <v>45</v>
      </c>
      <c r="G28" s="15"/>
      <c r="H28" s="15"/>
      <c r="I28" s="20"/>
    </row>
    <row r="29" spans="1:9" x14ac:dyDescent="0.3">
      <c r="A29" s="16" t="s">
        <v>46</v>
      </c>
      <c r="B29" s="26">
        <v>0.02</v>
      </c>
      <c r="C29" s="16"/>
      <c r="D29" s="16"/>
      <c r="E29" s="22">
        <f>$D$3*B29</f>
        <v>9</v>
      </c>
      <c r="F29" s="19" t="s">
        <v>47</v>
      </c>
      <c r="G29" s="15"/>
      <c r="H29" s="15"/>
      <c r="I29" s="20"/>
    </row>
    <row r="30" spans="1:9" x14ac:dyDescent="0.3">
      <c r="A30" s="16"/>
      <c r="B30" s="26">
        <v>0.03</v>
      </c>
      <c r="C30" s="16"/>
      <c r="D30" s="16"/>
      <c r="E30" s="19">
        <f>$D$3*B30</f>
        <v>13.5</v>
      </c>
      <c r="F30" s="19" t="s">
        <v>48</v>
      </c>
      <c r="G30" s="15"/>
      <c r="H30" s="15"/>
      <c r="I30" s="20"/>
    </row>
    <row r="31" spans="1:9" x14ac:dyDescent="0.3">
      <c r="A31" s="16" t="s">
        <v>49</v>
      </c>
      <c r="B31" s="26">
        <v>0.02</v>
      </c>
      <c r="C31" s="16"/>
      <c r="D31" s="16"/>
      <c r="E31" s="22">
        <f>+D3*B31</f>
        <v>9</v>
      </c>
      <c r="F31" s="19" t="s">
        <v>50</v>
      </c>
      <c r="G31" s="15">
        <v>30</v>
      </c>
      <c r="H31" s="15"/>
      <c r="I31" s="20"/>
    </row>
    <row r="32" spans="1:9" x14ac:dyDescent="0.3">
      <c r="A32" s="16" t="s">
        <v>51</v>
      </c>
      <c r="B32" s="26">
        <v>0.01</v>
      </c>
      <c r="C32" s="16"/>
      <c r="D32" s="16"/>
      <c r="E32" s="22">
        <f>+D3*B32</f>
        <v>4.5</v>
      </c>
      <c r="F32" s="19" t="s">
        <v>52</v>
      </c>
      <c r="G32" s="15">
        <v>10</v>
      </c>
      <c r="H32" s="15"/>
      <c r="I32" s="20"/>
    </row>
    <row r="33" spans="1:9" x14ac:dyDescent="0.3">
      <c r="A33" s="16" t="s">
        <v>53</v>
      </c>
      <c r="B33" s="23">
        <v>1.2E-2</v>
      </c>
      <c r="C33" s="16"/>
      <c r="D33" s="16"/>
      <c r="E33" s="22">
        <f>+D3*B33</f>
        <v>5.4</v>
      </c>
      <c r="F33" s="19" t="s">
        <v>54</v>
      </c>
      <c r="G33" s="15">
        <v>60</v>
      </c>
      <c r="H33" s="15" t="s">
        <v>55</v>
      </c>
      <c r="I33" s="20"/>
    </row>
    <row r="34" spans="1:9" x14ac:dyDescent="0.3">
      <c r="A34" s="16"/>
      <c r="B34" s="26">
        <v>1</v>
      </c>
      <c r="C34" s="16"/>
      <c r="D34" s="16"/>
      <c r="E34" s="19">
        <f>$D$3*B34</f>
        <v>450</v>
      </c>
      <c r="F34" s="19" t="s">
        <v>56</v>
      </c>
      <c r="G34" s="15"/>
      <c r="H34" s="15"/>
      <c r="I34" s="20"/>
    </row>
    <row r="35" spans="1:9" x14ac:dyDescent="0.3">
      <c r="A35" s="16" t="s">
        <v>57</v>
      </c>
      <c r="B35" s="26">
        <v>0.02</v>
      </c>
      <c r="C35" s="16"/>
      <c r="D35" s="16"/>
      <c r="E35" s="22">
        <f>$D$3*B35</f>
        <v>9</v>
      </c>
      <c r="F35" s="19" t="s">
        <v>58</v>
      </c>
      <c r="G35" s="15"/>
      <c r="H35" s="15"/>
      <c r="I35" s="20"/>
    </row>
    <row r="36" spans="1:9" x14ac:dyDescent="0.3">
      <c r="A36" s="16" t="s">
        <v>59</v>
      </c>
      <c r="B36" s="23">
        <v>1.4999999999999999E-2</v>
      </c>
      <c r="C36" s="16"/>
      <c r="D36" s="16"/>
      <c r="E36" s="22">
        <f>+D3*B36</f>
        <v>6.75</v>
      </c>
      <c r="F36" s="16" t="s">
        <v>60</v>
      </c>
      <c r="G36" s="15"/>
      <c r="H36" s="15"/>
      <c r="I36" s="20"/>
    </row>
    <row r="37" spans="1:9" x14ac:dyDescent="0.3">
      <c r="A37" s="16" t="s">
        <v>61</v>
      </c>
      <c r="B37" s="26">
        <v>0.02</v>
      </c>
      <c r="C37" s="16"/>
      <c r="D37" s="16"/>
      <c r="E37" s="22">
        <f>+D3*B37</f>
        <v>9</v>
      </c>
      <c r="F37" s="16" t="s">
        <v>62</v>
      </c>
      <c r="G37" s="15"/>
      <c r="H37" s="15"/>
      <c r="I37" s="20"/>
    </row>
    <row r="38" spans="1:9" x14ac:dyDescent="0.3">
      <c r="A38" s="16" t="s">
        <v>29</v>
      </c>
      <c r="B38" s="23">
        <v>5.0000000000000001E-3</v>
      </c>
      <c r="C38" s="16"/>
      <c r="D38" s="16"/>
      <c r="E38" s="22">
        <f>+D3*B38</f>
        <v>2.25</v>
      </c>
      <c r="F38" s="16" t="s">
        <v>63</v>
      </c>
      <c r="G38" s="15"/>
      <c r="H38" s="15"/>
      <c r="I38" s="20"/>
    </row>
    <row r="39" spans="1:9" x14ac:dyDescent="0.3">
      <c r="A39" s="16" t="s">
        <v>64</v>
      </c>
      <c r="B39" s="26">
        <v>0.01</v>
      </c>
      <c r="C39" s="16"/>
      <c r="D39" s="16"/>
      <c r="E39" s="22">
        <f>+D3*B39</f>
        <v>4.5</v>
      </c>
      <c r="F39" s="16" t="s">
        <v>65</v>
      </c>
      <c r="G39" s="15"/>
      <c r="H39" s="15"/>
      <c r="I39" s="20"/>
    </row>
    <row r="40" spans="1:9" x14ac:dyDescent="0.3">
      <c r="A40" s="16"/>
      <c r="B40" s="28">
        <v>1.5E-3</v>
      </c>
      <c r="C40" s="16"/>
      <c r="D40" s="16"/>
      <c r="E40" s="24">
        <f>+D3*B40</f>
        <v>0.67500000000000004</v>
      </c>
      <c r="F40" s="16" t="s">
        <v>66</v>
      </c>
      <c r="G40" s="15">
        <v>60</v>
      </c>
      <c r="H40" s="15"/>
      <c r="I40" s="20" t="s">
        <v>55</v>
      </c>
    </row>
    <row r="41" spans="1:9" x14ac:dyDescent="0.3">
      <c r="A41" s="16" t="s">
        <v>20</v>
      </c>
      <c r="B41" s="23">
        <v>7.0000000000000001E-3</v>
      </c>
      <c r="C41" s="16"/>
      <c r="D41" s="16"/>
      <c r="E41" s="22">
        <f>+D3*B41</f>
        <v>3.15</v>
      </c>
      <c r="F41" s="16" t="s">
        <v>21</v>
      </c>
      <c r="G41" s="15">
        <v>20</v>
      </c>
      <c r="H41" s="15"/>
      <c r="I41" s="20"/>
    </row>
    <row r="42" spans="1:9" x14ac:dyDescent="0.3">
      <c r="A42" s="16" t="s">
        <v>20</v>
      </c>
      <c r="B42" s="23">
        <v>7.0000000000000001E-3</v>
      </c>
      <c r="C42" s="16"/>
      <c r="D42" s="16"/>
      <c r="E42" s="22">
        <f>+D3*B42</f>
        <v>3.15</v>
      </c>
      <c r="F42" s="16" t="s">
        <v>21</v>
      </c>
      <c r="G42" s="15">
        <v>30</v>
      </c>
      <c r="H42" s="15"/>
      <c r="I42" s="20"/>
    </row>
    <row r="43" spans="1:9" x14ac:dyDescent="0.3">
      <c r="A43" s="16"/>
      <c r="B43" s="23"/>
      <c r="C43" s="16"/>
      <c r="D43" s="16"/>
      <c r="E43" s="19"/>
      <c r="F43" s="16"/>
      <c r="G43" s="15"/>
      <c r="H43" s="15"/>
      <c r="I43" s="20"/>
    </row>
    <row r="44" spans="1:9" x14ac:dyDescent="0.3">
      <c r="A44" s="29" t="s">
        <v>67</v>
      </c>
      <c r="B44" s="30"/>
      <c r="C44" s="31"/>
      <c r="D44" s="31"/>
      <c r="E44" s="32"/>
      <c r="F44" s="31"/>
      <c r="G44" s="13"/>
      <c r="H44" s="13"/>
      <c r="I44" s="33"/>
    </row>
    <row r="45" spans="1:9" ht="14.5" x14ac:dyDescent="0.35">
      <c r="A45" s="34" t="s">
        <v>68</v>
      </c>
      <c r="B45" s="35"/>
      <c r="C45" s="35"/>
      <c r="D45" s="35"/>
      <c r="E45" s="35"/>
      <c r="F45" s="35"/>
      <c r="G45" s="35"/>
      <c r="H45" s="35"/>
      <c r="I45" s="3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RECURTIDO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johana toloza</dc:creator>
  <cp:lastModifiedBy>johana toloza</cp:lastModifiedBy>
  <dcterms:created xsi:type="dcterms:W3CDTF">2026-01-21T15:23:08Z</dcterms:created>
  <dcterms:modified xsi:type="dcterms:W3CDTF">2026-01-21T15:41:21Z</dcterms:modified>
</cp:coreProperties>
</file>